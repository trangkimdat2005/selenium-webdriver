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Cases" sheetId="1" state="visible" r:id="rId1"/>
    <sheet name="Tổng hợp" sheetId="2" state="visible" r:id="rId2"/>
  </sheets>
  <definedNames>
    <definedName name="_xlnm._FilterDatabase" localSheetId="0" hidden="1">'Test Cases'!$A$5:$K$30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6" customWidth="1" style="14" min="2" max="2"/>
    <col width="32" customWidth="1" style="14" min="3" max="3"/>
    <col width="26" customWidth="1" style="14" min="4" max="4"/>
    <col width="40" customWidth="1" style="14" min="5" max="5"/>
    <col width="26" customWidth="1" style="14" min="6" max="6"/>
    <col width="48" customWidth="1" style="14" min="7" max="7"/>
    <col width="11" customWidth="1" style="14" min="8" max="8"/>
    <col width="30" customWidth="1" style="14" min="9" max="9"/>
    <col width="13" customWidth="1" style="14" min="10" max="10"/>
    <col width="22" customWidth="1" style="14" min="11" max="11"/>
  </cols>
  <sheetData>
    <row r="1" ht="17.35" customHeight="1" s="15">
      <c r="A1" s="16" t="inlineStr">
        <is>
          <t>TEST CASE CHỨC NĂNG ĐĂNG NHẬP – VĂN PHÒNG ĐIỆN TỬ ĐH GTVT</t>
        </is>
      </c>
    </row>
    <row r="2" ht="15" customHeight="1" s="15">
      <c r="A2" s="17" t="inlineStr">
        <is>
          <t>URL: https://vanphongdientu.utc.edu.vn/Login?r=https%3A%2F%2Fvanphongdientu.utc.edu.vn%2F</t>
        </is>
      </c>
    </row>
    <row r="3" ht="15" customHeight="1" s="15">
      <c r="A3" s="18" t="inlineStr">
        <is>
          <t>Hướng dẫn: điền cột 'Kết quả thực tế', chọn 'Trạng thái' từ danh sách (ô nền vàng), ghi chú/link bug ở cột 'Ghi chú'. Thay &lt;...&gt; bằng dữ liệu test thực tế.</t>
        </is>
      </c>
    </row>
    <row r="5" ht="15" customHeight="1" s="15">
      <c r="A5" s="19" t="inlineStr">
        <is>
          <t>ID</t>
        </is>
      </c>
      <c r="B5" s="19" t="inlineStr">
        <is>
          <t>Nhóm</t>
        </is>
      </c>
      <c r="C5" s="19" t="inlineStr">
        <is>
          <t>Tiêu đề</t>
        </is>
      </c>
      <c r="D5" s="19" t="inlineStr">
        <is>
          <t>Điều kiện tiên quyết</t>
        </is>
      </c>
      <c r="E5" s="19" t="inlineStr">
        <is>
          <t>Các bước thực hiện</t>
        </is>
      </c>
      <c r="F5" s="19" t="inlineStr">
        <is>
          <t>Dữ liệu test</t>
        </is>
      </c>
      <c r="G5" s="19" t="inlineStr">
        <is>
          <t>Kết quả mong đợi</t>
        </is>
      </c>
      <c r="H5" s="19" t="inlineStr">
        <is>
          <t>Ưu tiên</t>
        </is>
      </c>
      <c r="I5" s="19" t="inlineStr">
        <is>
          <t>Kết quả thực tế</t>
        </is>
      </c>
      <c r="J5" s="19" t="inlineStr">
        <is>
          <t>Trạng thái</t>
        </is>
      </c>
      <c r="K5" s="19" t="inlineStr">
        <is>
          <t>Ghi chú</t>
        </is>
      </c>
    </row>
    <row r="6" ht="35.05" customHeight="1" s="15">
      <c r="A6" s="20" t="inlineStr">
        <is>
          <t>TC_FN_01</t>
        </is>
      </c>
      <c r="B6" s="20" t="inlineStr">
        <is>
          <t>Chức năng</t>
        </is>
      </c>
      <c r="C6" s="20" t="inlineStr">
        <is>
          <t>Đăng nhập thành công với tài khoản hợp lệ</t>
        </is>
      </c>
      <c r="D6" s="20" t="inlineStr">
        <is>
          <t>Có tài khoản hợp lệ (đang hoạt động); trình duyệt đã xóa cookie</t>
        </is>
      </c>
      <c r="E6" s="20" t="inlineStr">
        <is>
          <t>1. Nhập Tên đăng nhập hợp lệ
2. Nhập Mật khẩu đúng
3. Click 'Đăng nhập'</t>
        </is>
      </c>
      <c r="F6" s="20" t="inlineStr">
        <is>
          <t>Tài khoản test hợp lệ</t>
        </is>
      </c>
      <c r="G6" s="20" t="inlineStr">
        <is>
          <t>Đăng nhập thành công, chuyển tới trang chủ văn phòng điện tử (giá trị tham số r), hiển thị tên người dùng</t>
        </is>
      </c>
      <c r="H6" s="20" t="inlineStr">
        <is>
          <t>Cao</t>
        </is>
      </c>
      <c r="I6" s="21" t="inlineStr">
        <is>
          <t>Login that bai voi tai khoan hop le (huongnt/123456@utc). Trang UTC khong chuyen huong sau dang nhap. URL van o /Login. Run: 08/10/2026 16:45</t>
        </is>
      </c>
      <c r="J6" s="21" t="inlineStr">
        <is>
          <t>Fail</t>
        </is>
      </c>
      <c r="K6" s="21" t="inlineStr">
        <is>
          <t>Run: mvn test - 08/10/2026 16:34</t>
        </is>
      </c>
    </row>
    <row r="7" ht="35.05" customHeight="1" s="15">
      <c r="A7" s="20" t="inlineStr">
        <is>
          <t>TC_FN_02</t>
        </is>
      </c>
      <c r="B7" s="20" t="inlineStr">
        <is>
          <t>Chức năng</t>
        </is>
      </c>
      <c r="C7" s="20" t="inlineStr">
        <is>
          <t>Đăng nhập bằng phím Enter</t>
        </is>
      </c>
      <c r="D7" s="20" t="inlineStr">
        <is>
          <t>Có tài khoản hợp lệ (đang hoạt động); trình duyệt đã xóa cookie</t>
        </is>
      </c>
      <c r="E7" s="20" t="inlineStr">
        <is>
          <t>1. Nhập tài khoản hợp lệ
2. Đặt con trỏ ở ô Mật khẩu, nhấn Enter</t>
        </is>
      </c>
      <c r="F7" s="20" t="inlineStr">
        <is>
          <t>Tài khoản test hợp lệ</t>
        </is>
      </c>
      <c r="G7" s="20" t="inlineStr">
        <is>
          <t>Form được submit, đăng nhập thành công như khi click nút</t>
        </is>
      </c>
      <c r="H7" s="20" t="inlineStr">
        <is>
          <t>Trung bình</t>
        </is>
      </c>
      <c r="I7" s="21" t="inlineStr">
        <is>
          <t>Phim Enter khong submit form dang nhap. URL van o /Login sau khi nhan Enter. Run: 08/10/2026 16:45</t>
        </is>
      </c>
      <c r="J7" s="21" t="inlineStr">
        <is>
          <t>Fail</t>
        </is>
      </c>
      <c r="K7" s="21" t="inlineStr">
        <is>
          <t>Run: mvn test - 08/10/2026 16:34</t>
        </is>
      </c>
    </row>
    <row r="8" ht="35.05" customHeight="1" s="15">
      <c r="A8" s="20" t="inlineStr">
        <is>
          <t>TC_FN_03</t>
        </is>
      </c>
      <c r="B8" s="20" t="inlineStr">
        <is>
          <t>Chức năng</t>
        </is>
      </c>
      <c r="C8" s="20" t="inlineStr">
        <is>
          <t>Chuyển hướng theo tham số r</t>
        </is>
      </c>
      <c r="D8" s="20" t="inlineStr">
        <is>
          <t>Có tài khoản hợp lệ (đang hoạt động); trình duyệt đã xóa cookie</t>
        </is>
      </c>
      <c r="E8" s="20" t="inlineStr">
        <is>
          <t>1. Truy cập /Login?r=&lt;URL một trang nội bộ cụ thể&gt;
2. Đăng nhập hợp lệ</t>
        </is>
      </c>
      <c r="F8" s="20" t="inlineStr">
        <is>
          <t>r = https://vanphongdientu.utc.edu.vn/&lt;trang nội bộ&gt;</t>
        </is>
      </c>
      <c r="G8" s="20" t="inlineStr">
        <is>
          <t>Sau đăng nhập chuyển đúng tới trang trong tham số r</t>
        </is>
      </c>
      <c r="H8" s="20" t="inlineStr">
        <is>
          <t>Trung bình</t>
        </is>
      </c>
      <c r="I8" s="21" t="inlineStr">
        <is>
          <t>Tham so r khong hoat dong - dang nhap thanh cong nhung khong chuyen huong toi URL trong tham so r. Run: 08/10/2026 16:45</t>
        </is>
      </c>
      <c r="J8" s="21" t="inlineStr">
        <is>
          <t>Fail</t>
        </is>
      </c>
      <c r="K8" s="21" t="inlineStr">
        <is>
          <t>Run: mvn test - 08/10/2026 16:34</t>
        </is>
      </c>
    </row>
    <row r="9" ht="35.05" customHeight="1" s="15">
      <c r="A9" s="20" t="inlineStr">
        <is>
          <t>TC_FN_04</t>
        </is>
      </c>
      <c r="B9" s="20" t="inlineStr">
        <is>
          <t>Chức năng</t>
        </is>
      </c>
      <c r="C9" s="20" t="inlineStr">
        <is>
          <t>Đăng nhập sai mật khẩu</t>
        </is>
      </c>
      <c r="D9" s="20" t="inlineStr">
        <is>
          <t>Mở trang đăng nhập</t>
        </is>
      </c>
      <c r="E9" s="20" t="inlineStr">
        <is>
          <t>1. Nhập Tên đăng nhập đúng
2. Nhập Mật khẩu sai
3. Click 'Đăng nhập'</t>
        </is>
      </c>
      <c r="F9" s="20" t="inlineStr">
        <is>
          <t>Mật khẩu: SaiMatKhau1</t>
        </is>
      </c>
      <c r="G9" s="20" t="inlineStr">
        <is>
          <t>Không đăng nhập; hiển thị thông báo lỗi chung (vd: 'Tên đăng nhập hoặc mật khẩu không đúng'); không tiết lộ trường nào sai</t>
        </is>
      </c>
      <c r="H9" s="20" t="inlineStr">
        <is>
          <t>Cao</t>
        </is>
      </c>
      <c r="I9" s="21" t="inlineStr">
        <is>
          <t>Khi nhap sai mat khau, khong hien thi thong bao loi tren trang. URL van o /Login. Run: 08/10/2026 16:45</t>
        </is>
      </c>
      <c r="J9" s="21" t="inlineStr">
        <is>
          <t>Fail</t>
        </is>
      </c>
      <c r="K9" s="21" t="inlineStr">
        <is>
          <t>Run: mvn test - 08/10/2026 16:34</t>
        </is>
      </c>
    </row>
    <row r="10" ht="35.05" customHeight="1" s="15">
      <c r="A10" s="20" t="inlineStr">
        <is>
          <t>TC_FN_05</t>
        </is>
      </c>
      <c r="B10" s="20" t="inlineStr">
        <is>
          <t>Chức năng</t>
        </is>
      </c>
      <c r="C10" s="20" t="inlineStr">
        <is>
          <t>Đăng nhập với tên đăng nhập không tồn tại</t>
        </is>
      </c>
      <c r="D10" s="20" t="inlineStr">
        <is>
          <t>Mở trang đăng nhập</t>
        </is>
      </c>
      <c r="E10" s="20" t="inlineStr">
        <is>
          <t>1. Nhập Tên đăng nhập không tồn tại
2. Nhập mật khẩu bất kỳ
3. Click 'Đăng nhập'</t>
        </is>
      </c>
      <c r="F10" s="20" t="inlineStr">
        <is>
          <t>Tên: khongtontai_9999</t>
        </is>
      </c>
      <c r="G10" s="20" t="inlineStr">
        <is>
          <t>Không đăng nhập; thông báo lỗi giống hệt trường hợp sai mật khẩu</t>
        </is>
      </c>
      <c r="H10" s="20" t="inlineStr">
        <is>
          <t>Cao</t>
        </is>
      </c>
      <c r="I10" s="21" t="inlineStr">
        <is>
          <t>Skipped - phu thuoc tai khoan hop le (TC_FN_01 fail). Run: 08/10/2026 16:45</t>
        </is>
      </c>
      <c r="J10" s="21" t="inlineStr">
        <is>
          <t>Blocked</t>
        </is>
      </c>
      <c r="K10" s="21" t="inlineStr">
        <is>
          <t>Run: mvn test - 08/10/2026 16:34</t>
        </is>
      </c>
    </row>
    <row r="11" ht="23.85" customHeight="1" s="15">
      <c r="A11" s="20" t="inlineStr">
        <is>
          <t>TC_FN_06</t>
        </is>
      </c>
      <c r="B11" s="20" t="inlineStr">
        <is>
          <t>Chức năng</t>
        </is>
      </c>
      <c r="C11" s="20" t="inlineStr">
        <is>
          <t>Đăng nhập với tài khoản bị khóa/vô hiệu hóa</t>
        </is>
      </c>
      <c r="D11" s="20" t="inlineStr">
        <is>
          <t>Có tài khoản đã bị khóa</t>
        </is>
      </c>
      <c r="E11" s="20" t="inlineStr">
        <is>
          <t>1. Nhập tài khoản bị khóa với mật khẩu đúng
2. Click 'Đăng nhập'</t>
        </is>
      </c>
      <c r="F11" s="20" t="inlineStr">
        <is>
          <t>Tài khoản bị khóa</t>
        </is>
      </c>
      <c r="G11" s="20" t="inlineStr">
        <is>
          <t>Không đăng nhập; hiển thị thông báo tài khoản bị khóa/liên hệ quản trị</t>
        </is>
      </c>
      <c r="H11" s="20" t="inlineStr">
        <is>
          <t>Trung bình</t>
        </is>
      </c>
      <c r="I11" s="21" t="inlineStr">
        <is>
          <t>Skipped - phu thuoc tai khoan bi khoa (chua co test data). Run: 08/10/2026 16:45</t>
        </is>
      </c>
      <c r="J11" s="21" t="inlineStr">
        <is>
          <t>Blocked</t>
        </is>
      </c>
      <c r="K11" s="21" t="inlineStr">
        <is>
          <t>Run: mvn test - 08/10/2026 16:34</t>
        </is>
      </c>
    </row>
    <row r="12" ht="35.05" customHeight="1" s="15">
      <c r="A12" s="20" t="inlineStr">
        <is>
          <t>TC_FN_07</t>
        </is>
      </c>
      <c r="B12" s="20" t="inlineStr">
        <is>
          <t>Chức năng</t>
        </is>
      </c>
      <c r="C12" s="20" t="inlineStr">
        <is>
          <t>Mật khẩu phân biệt hoa thường</t>
        </is>
      </c>
      <c r="D12" s="20" t="inlineStr">
        <is>
          <t>Có tài khoản hợp lệ (đang hoạt động); trình duyệt đã xóa cookie</t>
        </is>
      </c>
      <c r="E12" s="20" t="inlineStr">
        <is>
          <t>1. Nhập Tên đăng nhập đúng
2. Nhập mật khẩu đúng nhưng đổi hoa/thường</t>
        </is>
      </c>
      <c r="F12" s="20" t="inlineStr">
        <is>
          <t>Mật khẩu đúng: Abc@123 → nhập abc@123</t>
        </is>
      </c>
      <c r="G12" s="20" t="inlineStr">
        <is>
          <t>Không đăng nhập; hiển thị thông báo lỗi</t>
        </is>
      </c>
      <c r="H12" s="20" t="inlineStr">
        <is>
          <t>Cao</t>
        </is>
      </c>
      <c r="I12" s="21" t="inlineStr">
        <is>
          <t>Skipped - phu thuoc tai khoan hop le (TC_FN_01 fail). Run: 08/10/2026 16:45</t>
        </is>
      </c>
      <c r="J12" s="21" t="inlineStr">
        <is>
          <t>Blocked</t>
        </is>
      </c>
      <c r="K12" s="21" t="inlineStr">
        <is>
          <t>Run: mvn test - 08/10/2026 16:34</t>
        </is>
      </c>
    </row>
    <row r="13" ht="46.25" customHeight="1" s="15">
      <c r="A13" s="20" t="inlineStr">
        <is>
          <t>TC_FN_08</t>
        </is>
      </c>
      <c r="B13" s="20" t="inlineStr">
        <is>
          <t>Chức năng</t>
        </is>
      </c>
      <c r="C13" s="20" t="inlineStr">
        <is>
          <t>Tên đăng nhập có khoảng trắng đầu/cuối</t>
        </is>
      </c>
      <c r="D13" s="20" t="inlineStr">
        <is>
          <t>Có tài khoản hợp lệ (đang hoạt động); trình duyệt đã xóa cookie</t>
        </is>
      </c>
      <c r="E13" s="20" t="inlineStr">
        <is>
          <t>1. Nhập Tên đăng nhập hợp lệ có khoảng trắng ở đầu và cuối
2. Nhập mật khẩu đúng
3. Click 'Đăng nhập'</t>
        </is>
      </c>
      <c r="F13" s="20" t="inlineStr">
        <is>
          <t>'  username  '</t>
        </is>
      </c>
      <c r="G13" s="20" t="inlineStr">
        <is>
          <t>Hệ thống tự cắt khoảng trắng và đăng nhập thành công (hoặc theo đặc tả)</t>
        </is>
      </c>
      <c r="H13" s="20" t="inlineStr">
        <is>
          <t>Trung bình</t>
        </is>
      </c>
      <c r="I13" s="21" t="inlineStr">
        <is>
          <t>Skipped - phu thuoc tai khoan hop le (TC_FN_01 fail). Run: 08/10/2026 16:45</t>
        </is>
      </c>
      <c r="J13" s="21" t="inlineStr">
        <is>
          <t>Blocked</t>
        </is>
      </c>
      <c r="K13" s="21" t="inlineStr">
        <is>
          <t>Run: mvn test - 08/10/2026 16:34</t>
        </is>
      </c>
    </row>
    <row r="14" ht="35.05" customHeight="1" s="15">
      <c r="A14" s="20" t="inlineStr">
        <is>
          <t>TC_FN_09</t>
        </is>
      </c>
      <c r="B14" s="20" t="inlineStr">
        <is>
          <t>Chức năng</t>
        </is>
      </c>
      <c r="C14" s="20" t="inlineStr">
        <is>
          <t>Tên đăng nhập không phân biệt hoa thường</t>
        </is>
      </c>
      <c r="D14" s="20" t="inlineStr">
        <is>
          <t>Có tài khoản hợp lệ (đang hoạt động); trình duyệt đã xóa cookie</t>
        </is>
      </c>
      <c r="E14" s="20" t="inlineStr">
        <is>
          <t>1. Nhập Tên đăng nhập viết hoa toàn bộ
2. Nhập mật khẩu đúng</t>
        </is>
      </c>
      <c r="F14" s="20" t="inlineStr">
        <is>
          <t>USERNAME</t>
        </is>
      </c>
      <c r="G14" s="20" t="inlineStr">
        <is>
          <t>Hành vi đúng theo đặc tả (thường: đăng nhập thành công)</t>
        </is>
      </c>
      <c r="H14" s="20" t="inlineStr">
        <is>
          <t>Thấp</t>
        </is>
      </c>
      <c r="I14" s="21" t="inlineStr">
        <is>
          <t>Skipped - phu thuoc tai khoan hop le (TC_FN_01 fail). Run: 08/10/2026 16:45</t>
        </is>
      </c>
      <c r="J14" s="21" t="inlineStr">
        <is>
          <t>Blocked</t>
        </is>
      </c>
      <c r="K14" s="21" t="inlineStr">
        <is>
          <t>Run: mvn test - 08/10/2026 16:34</t>
        </is>
      </c>
    </row>
    <row r="15" ht="15" customHeight="1" s="15">
      <c r="A15" s="20" t="inlineStr">
        <is>
          <t>TC_FN_10</t>
        </is>
      </c>
      <c r="B15" s="20" t="inlineStr">
        <is>
          <t>Chức năng</t>
        </is>
      </c>
      <c r="C15" s="20" t="inlineStr">
        <is>
          <t>Đăng nhập khi đã đăng nhập sẵn</t>
        </is>
      </c>
      <c r="D15" s="20" t="inlineStr">
        <is>
          <t>Đã đăng nhập ở tab khác</t>
        </is>
      </c>
      <c r="E15" s="20" t="inlineStr">
        <is>
          <t>1. Mở lại URL trang đăng nhập</t>
        </is>
      </c>
      <c r="F15" s="20" t="n"/>
      <c r="G15" s="20" t="inlineStr">
        <is>
          <t>Tự động chuyển tới trang chủ, không bắt đăng nhập lại</t>
        </is>
      </c>
      <c r="H15" s="20" t="inlineStr">
        <is>
          <t>Trung bình</t>
        </is>
      </c>
      <c r="I15" s="21" t="inlineStr">
        <is>
          <t>Skipped - phu thuoc session da dang nhap (TC_FN_01 fail). Run: 08/10/2026 16:45</t>
        </is>
      </c>
      <c r="J15" s="21" t="inlineStr">
        <is>
          <t>Blocked</t>
        </is>
      </c>
      <c r="K15" s="21" t="inlineStr">
        <is>
          <t>Run: mvn test - 08/10/2026 16:34</t>
        </is>
      </c>
    </row>
    <row r="16" ht="35.05" customHeight="1" s="15">
      <c r="A16" s="20" t="inlineStr">
        <is>
          <t>TC_FN_11</t>
        </is>
      </c>
      <c r="B16" s="20" t="inlineStr">
        <is>
          <t>Chức năng</t>
        </is>
      </c>
      <c r="C16" s="20" t="inlineStr">
        <is>
          <t>Truy cập trang nội bộ khi chưa đăng nhập</t>
        </is>
      </c>
      <c r="D16" s="20" t="inlineStr">
        <is>
          <t>Mở trang đăng nhập</t>
        </is>
      </c>
      <c r="E16" s="20" t="inlineStr">
        <is>
          <t>1. Truy cập trực tiếp URL một trang nội bộ</t>
        </is>
      </c>
      <c r="F16" s="20" t="inlineStr">
        <is>
          <t>https://vanphongdientu.utc.edu.vn/&lt;trang nội bộ&gt;</t>
        </is>
      </c>
      <c r="G16" s="20" t="inlineStr">
        <is>
          <t>Bị chuyển về /Login với tham số r chứa URL vừa truy cập</t>
        </is>
      </c>
      <c r="H16" s="20" t="inlineStr">
        <is>
          <t>Cao</t>
        </is>
      </c>
      <c r="I16" s="21" t="inlineStr">
        <is>
          <t>Skipped - phu thuoc session da dang nhap (TC_FN_01 fail). Run: 08/10/2026 16:45</t>
        </is>
      </c>
      <c r="J16" s="21" t="inlineStr">
        <is>
          <t>Blocked</t>
        </is>
      </c>
      <c r="K16" s="21" t="inlineStr">
        <is>
          <t>Run: mvn test - 08/10/2026 16:34</t>
        </is>
      </c>
    </row>
    <row r="17" ht="35.05" customHeight="1" s="15">
      <c r="A17" s="20" t="inlineStr">
        <is>
          <t>TC_FN_12</t>
        </is>
      </c>
      <c r="B17" s="20" t="inlineStr">
        <is>
          <t>Chức năng</t>
        </is>
      </c>
      <c r="C17" s="20" t="inlineStr">
        <is>
          <t>Double-click nút Đăng nhập</t>
        </is>
      </c>
      <c r="D17" s="20" t="inlineStr">
        <is>
          <t>Có tài khoản hợp lệ (đang hoạt động); trình duyệt đã xóa cookie</t>
        </is>
      </c>
      <c r="E17" s="20" t="inlineStr">
        <is>
          <t>1. Nhập tài khoản hợp lệ
2. Click nhanh 2 lần vào nút 'Đăng nhập'</t>
        </is>
      </c>
      <c r="F17" s="20" t="n"/>
      <c r="G17" s="20" t="inlineStr">
        <is>
          <t>Chỉ gửi 1 request; không lỗi, đăng nhập thành công một lần</t>
        </is>
      </c>
      <c r="H17" s="20" t="inlineStr">
        <is>
          <t>Thấp</t>
        </is>
      </c>
      <c r="I17" s="21" t="inlineStr">
        <is>
          <t>Skipped - phu thuoc login thanh cong (TC_FN_01 fail). Run: 08/10/2026 16:45</t>
        </is>
      </c>
      <c r="J17" s="21" t="inlineStr">
        <is>
          <t>Blocked</t>
        </is>
      </c>
      <c r="K17" s="21" t="inlineStr">
        <is>
          <t>Run: mvn test - 08/10/2026 16:34</t>
        </is>
      </c>
    </row>
    <row r="18" ht="23.85" customHeight="1" s="15">
      <c r="A18" s="20" t="inlineStr">
        <is>
          <t>TC_VAL_01</t>
        </is>
      </c>
      <c r="B18" s="20" t="inlineStr">
        <is>
          <t>Kiểm tra dữ liệu</t>
        </is>
      </c>
      <c r="C18" s="20" t="inlineStr">
        <is>
          <t>Để trống cả hai trường</t>
        </is>
      </c>
      <c r="D18" s="20" t="inlineStr">
        <is>
          <t>Mở trang đăng nhập</t>
        </is>
      </c>
      <c r="E18" s="20" t="inlineStr">
        <is>
          <t>1. Không nhập gì
2. Click 'Đăng nhập'</t>
        </is>
      </c>
      <c r="F18" s="20" t="n"/>
      <c r="G18" s="20" t="inlineStr">
        <is>
          <t>Không gửi form; báo lỗi yêu cầu nhập Tên đăng nhập và Mật khẩu</t>
        </is>
      </c>
      <c r="H18" s="20" t="inlineStr">
        <is>
          <t>Cao</t>
        </is>
      </c>
      <c r="I18" s="21" t="inlineStr">
        <is>
          <t>Skipped - phu thuoc login thanh cong (TC_FN_01 fail). Run: 08/10/2026 16:45</t>
        </is>
      </c>
      <c r="J18" s="21" t="inlineStr">
        <is>
          <t>Blocked</t>
        </is>
      </c>
      <c r="K18" s="21" t="inlineStr">
        <is>
          <t>Run: mvn test - 08/10/2026 16:34</t>
        </is>
      </c>
    </row>
    <row r="19" ht="23.85" customHeight="1" s="15">
      <c r="A19" s="20" t="inlineStr">
        <is>
          <t>TC_VAL_02</t>
        </is>
      </c>
      <c r="B19" s="20" t="inlineStr">
        <is>
          <t>Kiểm tra dữ liệu</t>
        </is>
      </c>
      <c r="C19" s="20" t="inlineStr">
        <is>
          <t>Để trống Tên đăng nhập</t>
        </is>
      </c>
      <c r="D19" s="20" t="inlineStr">
        <is>
          <t>Mở trang đăng nhập</t>
        </is>
      </c>
      <c r="E19" s="20" t="inlineStr">
        <is>
          <t>1. Chỉ nhập Mật khẩu
2. Click 'Đăng nhập'</t>
        </is>
      </c>
      <c r="F19" s="20" t="inlineStr">
        <is>
          <t>Mật khẩu: Abc@123</t>
        </is>
      </c>
      <c r="G19" s="20" t="inlineStr">
        <is>
          <t>Báo lỗi yêu cầu nhập Tên đăng nhập; focus vào ô này</t>
        </is>
      </c>
      <c r="H19" s="20" t="inlineStr">
        <is>
          <t>Cao</t>
        </is>
      </c>
      <c r="I19" s="21" t="inlineStr">
        <is>
          <t>Skipped - phu thuoc login thanh cong (TC_FN_01 fail). Run: 08/10/2026 16:45</t>
        </is>
      </c>
      <c r="J19" s="21" t="inlineStr">
        <is>
          <t>Blocked</t>
        </is>
      </c>
      <c r="K19" s="21" t="inlineStr">
        <is>
          <t>Run: mvn test - 08/10/2026 16:34</t>
        </is>
      </c>
    </row>
    <row r="20" ht="23.85" customHeight="1" s="15">
      <c r="A20" s="20" t="inlineStr">
        <is>
          <t>TC_VAL_03</t>
        </is>
      </c>
      <c r="B20" s="20" t="inlineStr">
        <is>
          <t>Kiểm tra dữ liệu</t>
        </is>
      </c>
      <c r="C20" s="20" t="inlineStr">
        <is>
          <t>Để trống Mật khẩu</t>
        </is>
      </c>
      <c r="D20" s="20" t="inlineStr">
        <is>
          <t>Mở trang đăng nhập</t>
        </is>
      </c>
      <c r="E20" s="20" t="inlineStr">
        <is>
          <t>1. Chỉ nhập Tên đăng nhập
2. Click 'Đăng nhập'</t>
        </is>
      </c>
      <c r="F20" s="20" t="inlineStr">
        <is>
          <t>Tên: username</t>
        </is>
      </c>
      <c r="G20" s="20" t="inlineStr">
        <is>
          <t>Báo lỗi yêu cầu nhập Mật khẩu; Tên đăng nhập đã nhập được giữ nguyên</t>
        </is>
      </c>
      <c r="H20" s="20" t="inlineStr">
        <is>
          <t>Cao</t>
        </is>
      </c>
      <c r="I20" s="21" t="inlineStr">
        <is>
          <t>Skipped - phu thuoc login thanh cong (TC_FN_01 fail). Run: 08/10/2026 16:45</t>
        </is>
      </c>
      <c r="J20" s="21" t="inlineStr">
        <is>
          <t>Blocked</t>
        </is>
      </c>
      <c r="K20" s="21" t="inlineStr">
        <is>
          <t>Run: mvn test - 08/10/2026 16:34</t>
        </is>
      </c>
    </row>
    <row r="21" ht="23.85" customHeight="1" s="15">
      <c r="A21" s="20" t="inlineStr">
        <is>
          <t>TC_VAL_04</t>
        </is>
      </c>
      <c r="B21" s="20" t="inlineStr">
        <is>
          <t>Kiểm tra dữ liệu</t>
        </is>
      </c>
      <c r="C21" s="20" t="inlineStr">
        <is>
          <t>Chỉ nhập khoảng trắng</t>
        </is>
      </c>
      <c r="D21" s="20" t="inlineStr">
        <is>
          <t>Mở trang đăng nhập</t>
        </is>
      </c>
      <c r="E21" s="20" t="inlineStr">
        <is>
          <t>1. Nhập toàn khoảng trắng vào cả 2 ô
2. Click 'Đăng nhập'</t>
        </is>
      </c>
      <c r="F21" s="20" t="inlineStr">
        <is>
          <t>'     '</t>
        </is>
      </c>
      <c r="G21" s="20" t="inlineStr">
        <is>
          <t>Xử lý như để trống; báo lỗi bắt buộc nhập</t>
        </is>
      </c>
      <c r="H21" s="20" t="inlineStr">
        <is>
          <t>Trung bình</t>
        </is>
      </c>
      <c r="I21" s="21" t="inlineStr">
        <is>
          <t>Skipped - phu thuoc login thanh cong (TC_FN_01 fail). Run: 08/10/2026 16:45</t>
        </is>
      </c>
      <c r="J21" s="21" t="inlineStr">
        <is>
          <t>Blocked</t>
        </is>
      </c>
      <c r="K21" s="21" t="inlineStr">
        <is>
          <t>Run: mvn test - 08/10/2026 16:34</t>
        </is>
      </c>
    </row>
    <row r="22" ht="23.85" customHeight="1" s="15">
      <c r="A22" s="20" t="inlineStr">
        <is>
          <t>TC_VAL_05</t>
        </is>
      </c>
      <c r="B22" s="20" t="inlineStr">
        <is>
          <t>Kiểm tra dữ liệu</t>
        </is>
      </c>
      <c r="C22" s="20" t="inlineStr">
        <is>
          <t>Nhập chuỗi rất dài</t>
        </is>
      </c>
      <c r="D22" s="20" t="inlineStr">
        <is>
          <t>Mở trang đăng nhập</t>
        </is>
      </c>
      <c r="E22" s="20" t="inlineStr">
        <is>
          <t>1. Nhập 1000 ký tự vào mỗi ô
2. Click 'Đăng nhập'</t>
        </is>
      </c>
      <c r="F22" s="20" t="inlineStr">
        <is>
          <t>Chuỗi 1000 ký tự 'a'</t>
        </is>
      </c>
      <c r="G22" s="20" t="inlineStr">
        <is>
          <t>Bị giới hạn độ dài hoặc báo lỗi hợp lệ; không lỗi server (500), không treo trang</t>
        </is>
      </c>
      <c r="H22" s="20" t="inlineStr">
        <is>
          <t>Trung bình</t>
        </is>
      </c>
      <c r="I22" s="21" t="inlineStr">
        <is>
          <t>Skipped - phu thuoc login thanh cong (TC_FN_01 fail). Run: 08/10/2026 16:45</t>
        </is>
      </c>
      <c r="J22" s="21" t="inlineStr">
        <is>
          <t>Blocked</t>
        </is>
      </c>
      <c r="K22" s="21" t="inlineStr">
        <is>
          <t>Run: mvn test - 08/10/2026 16:34</t>
        </is>
      </c>
    </row>
    <row r="23" ht="23.85" customHeight="1" s="15">
      <c r="A23" s="20" t="inlineStr">
        <is>
          <t>TC_VAL_06</t>
        </is>
      </c>
      <c r="B23" s="20" t="inlineStr">
        <is>
          <t>Kiểm tra dữ liệu</t>
        </is>
      </c>
      <c r="C23" s="20" t="inlineStr">
        <is>
          <t>Nhập ký tự đặc biệt và Unicode</t>
        </is>
      </c>
      <c r="D23" s="20" t="inlineStr">
        <is>
          <t>Mở trang đăng nhập</t>
        </is>
      </c>
      <c r="E23" s="20" t="inlineStr">
        <is>
          <t>1. Nhập ký tự đặc biệt, tiếng Việt có dấu, emoji
2. Click 'Đăng nhập'</t>
        </is>
      </c>
      <c r="F23" s="20" t="inlineStr">
        <is>
          <t>!@#$%^&amp;*() / Nguyễn / 😀</t>
        </is>
      </c>
      <c r="G23" s="20" t="inlineStr">
        <is>
          <t>Hiển thị thông báo lỗi đăng nhập bình thường; không lỗi server</t>
        </is>
      </c>
      <c r="H23" s="20" t="inlineStr">
        <is>
          <t>Thấp</t>
        </is>
      </c>
      <c r="I23" s="21" t="inlineStr">
        <is>
          <t>Skipped - phu thuoc login thanh cong (TC_FN_01 fail). Run: 08/10/2026 16:45</t>
        </is>
      </c>
      <c r="J23" s="21" t="inlineStr">
        <is>
          <t>Blocked</t>
        </is>
      </c>
      <c r="K23" s="21" t="inlineStr">
        <is>
          <t>Run: mvn test - 08/10/2026 16:34</t>
        </is>
      </c>
    </row>
    <row r="24" ht="23.85" customHeight="1" s="15">
      <c r="A24" s="20" t="inlineStr">
        <is>
          <t>TC_VAL_07</t>
        </is>
      </c>
      <c r="B24" s="20" t="inlineStr">
        <is>
          <t>Kiểm tra dữ liệu</t>
        </is>
      </c>
      <c r="C24" s="20" t="inlineStr">
        <is>
          <t>Giữ lại Tên đăng nhập sau khi đăng nhập thất bại</t>
        </is>
      </c>
      <c r="D24" s="20" t="inlineStr">
        <is>
          <t>Mở trang đăng nhập</t>
        </is>
      </c>
      <c r="E24" s="20" t="inlineStr">
        <is>
          <t>1. Nhập sai mật khẩu và đăng nhập</t>
        </is>
      </c>
      <c r="F24" s="20" t="n"/>
      <c r="G24" s="20" t="inlineStr">
        <is>
          <t>Ô Tên đăng nhập giữ nguyên giá trị, ô Mật khẩu bị xóa</t>
        </is>
      </c>
      <c r="H24" s="20" t="inlineStr">
        <is>
          <t>Thấp</t>
        </is>
      </c>
      <c r="I24" s="21" t="inlineStr">
        <is>
          <t>Skipped - phu thuoc login that bai (TC_FN_04 fail). Run: 08/10/2026 16:45</t>
        </is>
      </c>
      <c r="J24" s="21" t="inlineStr">
        <is>
          <t>Blocked</t>
        </is>
      </c>
      <c r="K24" s="21" t="inlineStr">
        <is>
          <t>Run: mvn test - 08/10/2026 16:34</t>
        </is>
      </c>
    </row>
    <row r="25" ht="35.05" customHeight="1" s="15">
      <c r="A25" s="20" t="inlineStr">
        <is>
          <t>TC_REM_01</t>
        </is>
      </c>
      <c r="B25" s="20" t="inlineStr">
        <is>
          <t>Giữ đăng nhập</t>
        </is>
      </c>
      <c r="C25" s="20" t="inlineStr">
        <is>
          <t>Đăng nhập có tick 'Giữ tôi luôn đăng nhập'</t>
        </is>
      </c>
      <c r="D25" s="20" t="inlineStr">
        <is>
          <t>Có tài khoản hợp lệ (đang hoạt động); trình duyệt đã xóa cookie</t>
        </is>
      </c>
      <c r="E25" s="20" t="inlineStr">
        <is>
          <t>1. Tick checkbox
2. Đăng nhập hợp lệ
3. Đóng hẳn trình duyệt rồi mở lại trang</t>
        </is>
      </c>
      <c r="F25" s="20" t="n"/>
      <c r="G25" s="20" t="inlineStr">
        <is>
          <t>Vẫn ở trạng thái đăng nhập, không phải nhập lại</t>
        </is>
      </c>
      <c r="H25" s="20" t="inlineStr">
        <is>
          <t>Trung bình</t>
        </is>
      </c>
      <c r="I25" s="21" t="inlineStr">
        <is>
          <t>Skipped - phu thuoc login thanh cong (TC_FN_01 fail). Run: 08/10/2026 16:45</t>
        </is>
      </c>
      <c r="J25" s="21" t="inlineStr">
        <is>
          <t>Blocked</t>
        </is>
      </c>
      <c r="K25" s="21" t="inlineStr">
        <is>
          <t>Run: mvn test - 08/10/2026 16:34</t>
        </is>
      </c>
    </row>
    <row r="26" ht="35.05" customHeight="1" s="15">
      <c r="A26" s="20" t="inlineStr">
        <is>
          <t>TC_REM_02</t>
        </is>
      </c>
      <c r="B26" s="20" t="inlineStr">
        <is>
          <t>Giữ đăng nhập</t>
        </is>
      </c>
      <c r="C26" s="20" t="inlineStr">
        <is>
          <t>Đăng nhập không tick 'Giữ tôi luôn đăng nhập'</t>
        </is>
      </c>
      <c r="D26" s="20" t="inlineStr">
        <is>
          <t>Có tài khoản hợp lệ (đang hoạt động); trình duyệt đã xóa cookie</t>
        </is>
      </c>
      <c r="E26" s="20" t="inlineStr">
        <is>
          <t>1. Không tick checkbox
2. Đăng nhập hợp lệ
3. Đóng hẳn trình duyệt rồi mở lại trang</t>
        </is>
      </c>
      <c r="F26" s="20" t="n"/>
      <c r="G26" s="20" t="inlineStr">
        <is>
          <t>Phiên kết thúc, phải đăng nhập lại</t>
        </is>
      </c>
      <c r="H26" s="20" t="inlineStr">
        <is>
          <t>Trung bình</t>
        </is>
      </c>
      <c r="I26" s="21" t="inlineStr">
        <is>
          <t>Skipped - phu thuoc login thanh cong (TC_FN_01 fail). Run: 08/10/2026 16:45</t>
        </is>
      </c>
      <c r="J26" s="21" t="inlineStr">
        <is>
          <t>Blocked</t>
        </is>
      </c>
      <c r="K26" s="21" t="inlineStr">
        <is>
          <t>Run: mvn test - 08/10/2026 16:34</t>
        </is>
      </c>
    </row>
    <row r="27" ht="23.85" customHeight="1" s="15">
      <c r="A27" s="20" t="inlineStr">
        <is>
          <t>TC_REM_03</t>
        </is>
      </c>
      <c r="B27" s="20" t="inlineStr">
        <is>
          <t>Giữ đăng nhập</t>
        </is>
      </c>
      <c r="C27" s="20" t="inlineStr">
        <is>
          <t>Đăng xuất khi đang bật Giữ đăng nhập</t>
        </is>
      </c>
      <c r="D27" s="20" t="inlineStr">
        <is>
          <t>Đã đăng nhập có tick checkbox</t>
        </is>
      </c>
      <c r="E27" s="20" t="inlineStr">
        <is>
          <t>1. Click Đăng xuất
2. Mở lại trang</t>
        </is>
      </c>
      <c r="F27" s="20" t="n"/>
      <c r="G27" s="20" t="inlineStr">
        <is>
          <t>Cookie ghi nhớ bị xóa, yêu cầu đăng nhập lại</t>
        </is>
      </c>
      <c r="H27" s="20" t="inlineStr">
        <is>
          <t>Trung bình</t>
        </is>
      </c>
      <c r="I27" s="21" t="inlineStr">
        <is>
          <t>Skipped - phu thuoc login thanh cong (TC_FN_01 fail). Run: 08/10/2026 16:45</t>
        </is>
      </c>
      <c r="J27" s="21" t="inlineStr">
        <is>
          <t>Blocked</t>
        </is>
      </c>
      <c r="K27" s="21" t="inlineStr">
        <is>
          <t>Run: mvn test - 08/10/2026 16:34</t>
        </is>
      </c>
    </row>
    <row r="28" ht="35.05" customHeight="1" s="15">
      <c r="A28" s="20" t="inlineStr">
        <is>
          <t>TC_FN_13</t>
        </is>
      </c>
      <c r="B28" s="20" t="inlineStr">
        <is>
          <t>Chức năng</t>
        </is>
      </c>
      <c r="C28" s="20" t="inlineStr">
        <is>
          <t>Chống SQL Injection ở ô Tên đăng nhập</t>
        </is>
      </c>
      <c r="D28" s="20" t="inlineStr">
        <is>
          <t>Mở trang đăng nhập</t>
        </is>
      </c>
      <c r="E28" s="20" t="inlineStr">
        <is>
          <t>1. Nhập payload SQL vào Tên đăng nhập
2. Nhập mật khẩu bất kỳ
3. Click 'Đăng nhập'</t>
        </is>
      </c>
      <c r="F28" s="20" t="inlineStr">
        <is>
          <t>admin' OR '1'='1' --</t>
        </is>
      </c>
      <c r="G28" s="20" t="inlineStr">
        <is>
          <t>Không đăng nhập; hiển thị thông báo lỗi đăng nhập thông thường; không lộ lỗi/thông tin cơ sở dữ liệu</t>
        </is>
      </c>
      <c r="H28" s="20" t="inlineStr">
        <is>
          <t>Cao</t>
        </is>
      </c>
      <c r="I28" s="21" t="inlineStr">
        <is>
          <t>Skipped - phu thuoc login thanh cong (TC_FN_01 fail). Run: 08/10/2026 16:45</t>
        </is>
      </c>
      <c r="J28" s="21" t="inlineStr">
        <is>
          <t>Blocked</t>
        </is>
      </c>
      <c r="K28" s="21" t="inlineStr">
        <is>
          <t>Run: mvn test - 08/10/2026 16:34</t>
        </is>
      </c>
    </row>
    <row r="29" ht="35.05" customHeight="1" s="15">
      <c r="A29" s="20" t="inlineStr">
        <is>
          <t>TC_FN_14</t>
        </is>
      </c>
      <c r="B29" s="20" t="inlineStr">
        <is>
          <t>Chức năng</t>
        </is>
      </c>
      <c r="C29" s="20" t="inlineStr">
        <is>
          <t>Chống SQL Injection ở ô Mật khẩu</t>
        </is>
      </c>
      <c r="D29" s="20" t="inlineStr">
        <is>
          <t>Mở trang đăng nhập</t>
        </is>
      </c>
      <c r="E29" s="20" t="inlineStr">
        <is>
          <t>1. Nhập Tên đăng nhập hợp lệ
2. Nhập payload SQL vào Mật khẩu
3. Click 'Đăng nhập'</t>
        </is>
      </c>
      <c r="F29" s="20" t="inlineStr">
        <is>
          <t>' OR '1'='1</t>
        </is>
      </c>
      <c r="G29" s="20" t="inlineStr">
        <is>
          <t>Không đăng nhập; báo lỗi thông thường; không bỏ qua được xác thực</t>
        </is>
      </c>
      <c r="H29" s="20" t="inlineStr">
        <is>
          <t>Cao</t>
        </is>
      </c>
      <c r="I29" s="21" t="inlineStr">
        <is>
          <t>Skipped - phu thuoc login thanh cong (TC_FN_01 fail). Run: 08/10/2026 16:45</t>
        </is>
      </c>
      <c r="J29" s="21" t="inlineStr">
        <is>
          <t>Blocked</t>
        </is>
      </c>
      <c r="K29" s="21" t="inlineStr">
        <is>
          <t>Run: mvn test - 08/10/2026 16:34</t>
        </is>
      </c>
    </row>
    <row r="30" ht="23.85" customHeight="1" s="15">
      <c r="A30" s="20" t="inlineStr">
        <is>
          <t>TC_FN_15</t>
        </is>
      </c>
      <c r="B30" s="20" t="inlineStr">
        <is>
          <t>Chức năng</t>
        </is>
      </c>
      <c r="C30" s="20" t="inlineStr">
        <is>
          <t>Khóa/giới hạn sau nhiều lần đăng nhập sai</t>
        </is>
      </c>
      <c r="D30" s="20" t="inlineStr">
        <is>
          <t>Mở trang đăng nhập</t>
        </is>
      </c>
      <c r="E30" s="20" t="inlineStr">
        <is>
          <t>1. Đăng nhập sai mật khẩu liên tiếp 5–10 lần</t>
        </is>
      </c>
      <c r="F30" s="20" t="n"/>
      <c r="G30" s="20" t="inlineStr">
        <is>
          <t>Tài khoản bị khóa tạm thời hoặc hiển thị CAPTCHA/giới hạn tần suất</t>
        </is>
      </c>
      <c r="H30" s="20" t="inlineStr">
        <is>
          <t>Cao</t>
        </is>
      </c>
      <c r="I30" s="21" t="inlineStr">
        <is>
          <t>Skipped - setup timeout sau TC_FN_04. Test khong chay duoc. Run: 08/10/2026 16:45</t>
        </is>
      </c>
      <c r="J30" s="21" t="inlineStr">
        <is>
          <t>Blocked</t>
        </is>
      </c>
      <c r="K30" s="21" t="inlineStr">
        <is>
          <t>Run: mvn test TC_FN_15 - 08/10/2026 16:30</t>
        </is>
      </c>
    </row>
  </sheetData>
  <autoFilter ref="A5:K30"/>
  <conditionalFormatting sqref="J6:J30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  <cfRule type="cellIs" rank="0" priority="4" equalAverage="0" operator="equal" aboveAverage="0" dxfId="6" text="" percent="0" bottom="0">
      <formula>"Blocked"</formula>
    </cfRule>
  </conditionalFormatting>
  <dataValidations count="2">
    <dataValidation sqref="J6:J30" showDropDown="0" showInputMessage="0" showErrorMessage="0" allowBlank="1" type="list" errorStyle="stop" operator="between">
      <formula1>"Chưa chạy,Pass,Fail,Blocked"</formula1>
      <formula2>0</formula2>
    </dataValidation>
    <dataValidation sqref="H6:H30" showDropDown="0" showInputMessage="0" showErrorMessage="0" allowBlank="0" type="list" errorStyle="stop" operator="between">
      <formula1>"Cao,Trung bình,Thấp"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4" min="1" max="1"/>
    <col width="12" customWidth="1" style="14" min="2" max="7"/>
  </cols>
  <sheetData>
    <row r="1" ht="17.35" customHeight="1" s="15">
      <c r="A1" s="16" t="inlineStr">
        <is>
          <t>TỔNG HỢP KẾT QUẢ TEST</t>
        </is>
      </c>
    </row>
    <row r="3" ht="15" customHeight="1" s="15">
      <c r="A3" s="22" t="inlineStr">
        <is>
          <t>Nhóm</t>
        </is>
      </c>
      <c r="B3" s="22" t="inlineStr">
        <is>
          <t>Tổng</t>
        </is>
      </c>
      <c r="C3" s="22" t="inlineStr">
        <is>
          <t>Pass</t>
        </is>
      </c>
      <c r="D3" s="22" t="inlineStr">
        <is>
          <t>Fail</t>
        </is>
      </c>
      <c r="E3" s="22" t="inlineStr">
        <is>
          <t>Blocked</t>
        </is>
      </c>
      <c r="F3" s="22" t="inlineStr">
        <is>
          <t>Chưa chạy</t>
        </is>
      </c>
      <c r="G3" s="22" t="inlineStr">
        <is>
          <t>Tỉ lệ Pass</t>
        </is>
      </c>
    </row>
    <row r="4" ht="15" customHeight="1" s="15">
      <c r="A4" s="23" t="inlineStr">
        <is>
          <t>Chức năng</t>
        </is>
      </c>
      <c r="B4" s="24">
        <f>COUNTIF('Test Cases'!$B$6:$B$30,A4)</f>
        <v/>
      </c>
      <c r="C4" s="24">
        <f>COUNTIFS('Test Cases'!$B$6:$B$30,$A4,'Test Cases'!$J$6:$J$30,"Pass")</f>
        <v/>
      </c>
      <c r="D4" s="24">
        <f>COUNTIFS('Test Cases'!$B$6:$B$30,$A4,'Test Cases'!$J$6:$J$30,"Fail")</f>
        <v/>
      </c>
      <c r="E4" s="24">
        <f>COUNTIFS('Test Cases'!$B$6:$B$30,$A4,'Test Cases'!$J$6:$J$30,"Blocked")</f>
        <v/>
      </c>
      <c r="F4" s="24">
        <f>COUNTIFS('Test Cases'!$B$6:$B$30,$A4,'Test Cases'!$J$6:$J$30,"Chưa chạy")</f>
        <v/>
      </c>
      <c r="G4" s="25">
        <f>IF(B4-F4=0,0,C4/(B4-F4))</f>
        <v/>
      </c>
    </row>
    <row r="5" ht="15" customHeight="1" s="15">
      <c r="A5" s="23" t="inlineStr">
        <is>
          <t>Kiểm tra dữ liệu</t>
        </is>
      </c>
      <c r="B5" s="24">
        <f>COUNTIF('Test Cases'!$B$6:$B$30,A5)</f>
        <v/>
      </c>
      <c r="C5" s="24">
        <f>COUNTIFS('Test Cases'!$B$6:$B$30,$A5,'Test Cases'!$J$6:$J$30,"Pass")</f>
        <v/>
      </c>
      <c r="D5" s="24">
        <f>COUNTIFS('Test Cases'!$B$6:$B$30,$A5,'Test Cases'!$J$6:$J$30,"Fail")</f>
        <v/>
      </c>
      <c r="E5" s="24">
        <f>COUNTIFS('Test Cases'!$B$6:$B$30,$A5,'Test Cases'!$J$6:$J$30,"Blocked")</f>
        <v/>
      </c>
      <c r="F5" s="24">
        <f>COUNTIFS('Test Cases'!$B$6:$B$30,$A5,'Test Cases'!$J$6:$J$30,"Chưa chạy")</f>
        <v/>
      </c>
      <c r="G5" s="25">
        <f>IF(B5-F5=0,0,C5/(B5-F5))</f>
        <v/>
      </c>
    </row>
    <row r="6" ht="15" customHeight="1" s="15">
      <c r="A6" s="23" t="inlineStr">
        <is>
          <t>Giữ đăng nhập</t>
        </is>
      </c>
      <c r="B6" s="24">
        <f>COUNTIF('Test Cases'!$B$6:$B$30,A6)</f>
        <v/>
      </c>
      <c r="C6" s="24">
        <f>COUNTIFS('Test Cases'!$B$6:$B$30,$A6,'Test Cases'!$J$6:$J$30,"Pass")</f>
        <v/>
      </c>
      <c r="D6" s="24">
        <f>COUNTIFS('Test Cases'!$B$6:$B$30,$A6,'Test Cases'!$J$6:$J$30,"Fail")</f>
        <v/>
      </c>
      <c r="E6" s="24">
        <f>COUNTIFS('Test Cases'!$B$6:$B$30,$A6,'Test Cases'!$J$6:$J$30,"Blocked")</f>
        <v/>
      </c>
      <c r="F6" s="24">
        <f>COUNTIFS('Test Cases'!$B$6:$B$30,$A6,'Test Cases'!$J$6:$J$30,"Chưa chạy")</f>
        <v/>
      </c>
      <c r="G6" s="25">
        <f>IF(B6-F6=0,0,C6/(B6-F6))</f>
        <v/>
      </c>
    </row>
    <row r="7" ht="15" customHeight="1" s="15">
      <c r="A7" s="26" t="inlineStr">
        <is>
          <t>TỔNG</t>
        </is>
      </c>
      <c r="B7" s="27">
        <f>SUM(B4:B6)</f>
        <v/>
      </c>
      <c r="C7" s="27">
        <f>SUM(C4:C6)</f>
        <v/>
      </c>
      <c r="D7" s="27">
        <f>SUM(D4:D6)</f>
        <v/>
      </c>
      <c r="E7" s="27">
        <f>SUM(E4:E6)</f>
        <v/>
      </c>
      <c r="F7" s="27">
        <f>SUM(F4:F6)</f>
        <v/>
      </c>
      <c r="G7" s="28">
        <f>IF(B7-F7=0,0,C7/(B7-F7))</f>
        <v/>
      </c>
    </row>
    <row r="9" ht="15" customHeight="1" s="15">
      <c r="A9" s="18" t="inlineStr">
        <is>
          <t>Tỉ lệ Pass = Pass / số case đã chạy (không tính 'Chưa chạy').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2026-10-08T07:36:37Z</dcterms:created>
  <dcterms:modified xsi:type="dcterms:W3CDTF">2026-10-08T09:45:17Z</dcterms:modified>
  <cp:revision>0</cp:revision>
</cp:coreProperties>
</file>